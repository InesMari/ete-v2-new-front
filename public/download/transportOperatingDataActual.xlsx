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460" windowHeight="142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<sst xmlns="http://schemas.openxmlformats.org/spreadsheetml/2006/main" count="54" uniqueCount="24">
  <si>
    <t>运输中心收入实际</t>
  </si>
  <si>
    <t>当月实际数据</t>
  </si>
  <si>
    <t>公式说明</t>
  </si>
  <si>
    <t>运输中心收入实际合计</t>
  </si>
  <si>
    <t>自动计算</t>
  </si>
  <si>
    <t>项目1组</t>
  </si>
  <si>
    <t>填</t>
  </si>
  <si>
    <t>项目2组</t>
  </si>
  <si>
    <t>项目3组</t>
  </si>
  <si>
    <t>项目4组</t>
  </si>
  <si>
    <t>收入实际合计</t>
  </si>
  <si>
    <t>利差实际合计</t>
  </si>
  <si>
    <t>总收入分项</t>
  </si>
  <si>
    <t>自有车</t>
  </si>
  <si>
    <t>外调</t>
  </si>
  <si>
    <t>中源+自有车内转</t>
  </si>
  <si>
    <t>总成本分项</t>
  </si>
  <si>
    <t>总利差额分项</t>
  </si>
  <si>
    <t>减：部门费用</t>
  </si>
  <si>
    <t>减：三费</t>
  </si>
  <si>
    <t>净利润</t>
  </si>
  <si>
    <t>自动算</t>
  </si>
  <si>
    <t>净利率</t>
  </si>
  <si>
    <t>注：灰底黑字部分为公式项，无需填写！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</si>
</sst>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.0%"/>
  </numFmts>
  <fonts count="27">
    <font>
      <sz val="11"/>
      <color theme="1"/>
      <name val="宋体"/>
      <charset val="134"/>
      <scheme val="minor"/>
    </font>
    <font>
      <sz val="9"/>
      <name val="微软雅黑"/>
      <charset val="134"/>
    </font>
    <font>
      <sz val="11"/>
      <color theme="1"/>
      <name val="微软雅黑"/>
      <charset val="134"/>
    </font>
    <font>
      <sz val="8"/>
      <color theme="1"/>
      <name val="微软雅黑"/>
      <charset val="134"/>
    </font>
    <font>
      <sz val="9"/>
      <color rgb="FFFF0000"/>
      <name val="微软雅黑"/>
      <charset val="134"/>
    </font>
    <font>
      <sz val="11"/>
      <color indexed="8"/>
      <name val="微软雅黑"/>
      <charset val="134"/>
    </font>
    <font>
      <sz val="9"/>
      <color theme="1"/>
      <name val="微软雅黑"/>
      <charset val="134"/>
    </font>
    <font>
      <b/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72F44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0" fillId="5" borderId="6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7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5" fillId="0" borderId="0">
      <alignment vertical="center"/>
    </xf>
    <xf numFmtId="0" fontId="16" fillId="6" borderId="9">
      <alignment vertical="center"/>
    </xf>
    <xf numFmtId="0" fontId="17" fillId="7" borderId="10">
      <alignment vertical="center"/>
    </xf>
    <xf numFmtId="0" fontId="18" fillId="7" borderId="9">
      <alignment vertical="center"/>
    </xf>
    <xf numFmtId="0" fontId="19" fillId="8" borderId="11">
      <alignment vertical="center"/>
    </xf>
    <xf numFmtId="0" fontId="20" fillId="0" borderId="12">
      <alignment vertical="center"/>
    </xf>
    <xf numFmtId="0" fontId="21" fillId="0" borderId="13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4" fillId="11" borderId="0">
      <alignment vertical="center"/>
    </xf>
    <xf numFmtId="0" fontId="25" fillId="12" borderId="0">
      <alignment vertical="center"/>
    </xf>
    <xf numFmtId="0" fontId="26" fillId="13" borderId="0">
      <alignment vertical="center"/>
    </xf>
    <xf numFmtId="0" fontId="26" fillId="14" borderId="0">
      <alignment vertical="center"/>
    </xf>
    <xf numFmtId="0" fontId="25" fillId="15" borderId="0">
      <alignment vertical="center"/>
    </xf>
    <xf numFmtId="0" fontId="25" fillId="16" borderId="0">
      <alignment vertical="center"/>
    </xf>
    <xf numFmtId="0" fontId="26" fillId="17" borderId="0">
      <alignment vertical="center"/>
    </xf>
    <xf numFmtId="0" fontId="26" fillId="18" borderId="0">
      <alignment vertical="center"/>
    </xf>
    <xf numFmtId="0" fontId="25" fillId="19" borderId="0">
      <alignment vertical="center"/>
    </xf>
    <xf numFmtId="0" fontId="25" fillId="20" borderId="0">
      <alignment vertical="center"/>
    </xf>
    <xf numFmtId="0" fontId="26" fillId="21" borderId="0">
      <alignment vertical="center"/>
    </xf>
    <xf numFmtId="0" fontId="26" fillId="22" borderId="0">
      <alignment vertical="center"/>
    </xf>
    <xf numFmtId="0" fontId="25" fillId="23" borderId="0">
      <alignment vertical="center"/>
    </xf>
    <xf numFmtId="0" fontId="25" fillId="24" borderId="0">
      <alignment vertical="center"/>
    </xf>
    <xf numFmtId="0" fontId="26" fillId="25" borderId="0">
      <alignment vertical="center"/>
    </xf>
    <xf numFmtId="0" fontId="26" fillId="26" borderId="0">
      <alignment vertical="center"/>
    </xf>
    <xf numFmtId="0" fontId="25" fillId="27" borderId="0">
      <alignment vertical="center"/>
    </xf>
    <xf numFmtId="0" fontId="25" fillId="28" borderId="0">
      <alignment vertical="center"/>
    </xf>
    <xf numFmtId="0" fontId="26" fillId="2" borderId="0">
      <alignment vertical="center"/>
    </xf>
    <xf numFmtId="0" fontId="26" fillId="29" borderId="0">
      <alignment vertical="center"/>
    </xf>
    <xf numFmtId="0" fontId="25" fillId="30" borderId="0">
      <alignment vertical="center"/>
    </xf>
    <xf numFmtId="0" fontId="25" fillId="31" borderId="0">
      <alignment vertical="center"/>
    </xf>
    <xf numFmtId="0" fontId="26" fillId="32" borderId="0">
      <alignment vertical="center"/>
    </xf>
    <xf numFmtId="0" fontId="26" fillId="33" borderId="0">
      <alignment vertical="center"/>
    </xf>
    <xf numFmtId="0" fontId="25" fillId="34" borderId="0">
      <alignment vertical="center"/>
    </xf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</cellStyleXfs>
  <cellXfs count="24">
    <xf numFmtId="0" fontId="0" fillId="0" borderId="0" xfId="0" applyAlignment="1">
      <alignment vertical="center"/>
    </xf>
    <xf numFmtId="38" fontId="1" fillId="2" borderId="1" xfId="49" applyNumberFormat="1" applyFont="1" applyFill="1" applyBorder="1" applyAlignment="1">
      <alignment horizontal="center" vertical="center"/>
    </xf>
    <xf numFmtId="38" fontId="1" fillId="2" borderId="2" xfId="49" applyNumberFormat="1" applyFont="1" applyFill="1" applyBorder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1" fillId="3" borderId="3" xfId="49" applyFont="1" applyFill="1" applyBorder="1" applyAlignment="1">
      <alignment vertical="center"/>
    </xf>
    <xf numFmtId="176" fontId="1" fillId="3" borderId="3" xfId="50" applyNumberFormat="1" applyFont="1" applyFill="1" applyBorder="1" applyAlignment="1">
      <alignment vertical="center"/>
    </xf>
    <xf numFmtId="0" fontId="3" fillId="3" borderId="0" xfId="49" applyFont="1" applyFill="1" applyBorder="1" applyAlignment="1">
      <alignment horizontal="center" vertical="center"/>
    </xf>
    <xf numFmtId="0" fontId="1" fillId="4" borderId="1" xfId="49" applyFont="1" applyFill="1" applyBorder="1" applyAlignment="1">
      <alignment vertical="center"/>
    </xf>
    <xf numFmtId="176" fontId="1" fillId="4" borderId="1" xfId="50" applyNumberFormat="1" applyFont="1" applyFill="1" applyBorder="1" applyAlignment="1">
      <alignment vertical="center"/>
    </xf>
    <xf numFmtId="0" fontId="4" fillId="4" borderId="4" xfId="49" applyFont="1" applyFill="1" applyBorder="1" applyAlignment="1">
      <alignment horizontal="center" vertical="center"/>
    </xf>
    <xf numFmtId="0" fontId="1" fillId="3" borderId="1" xfId="49" applyFont="1" applyFill="1" applyBorder="1" applyAlignment="1">
      <alignment vertical="center"/>
    </xf>
    <xf numFmtId="176" fontId="1" fillId="3" borderId="1" xfId="49" applyNumberFormat="1" applyFont="1" applyFill="1" applyBorder="1" applyAlignment="1">
      <alignment horizontal="right" vertical="center"/>
    </xf>
    <xf numFmtId="0" fontId="3" fillId="3" borderId="1" xfId="49" applyFont="1" applyFill="1" applyBorder="1" applyAlignment="1">
      <alignment horizontal="center" vertical="center"/>
    </xf>
    <xf numFmtId="0" fontId="1" fillId="3" borderId="3" xfId="49" applyFont="1" applyFill="1" applyBorder="1" applyAlignment="1">
      <alignment horizontal="left" vertical="center"/>
    </xf>
    <xf numFmtId="0" fontId="1" fillId="3" borderId="4" xfId="49" applyFont="1" applyFill="1" applyBorder="1" applyAlignment="1">
      <alignment horizontal="left" vertical="center"/>
    </xf>
    <xf numFmtId="0" fontId="1" fillId="3" borderId="5" xfId="49" applyFont="1" applyFill="1" applyBorder="1" applyAlignment="1">
      <alignment horizontal="left" vertical="center"/>
    </xf>
    <xf numFmtId="0" fontId="5" fillId="0" borderId="0" xfId="49" applyFont="1" applyAlignment="1">
      <alignment vertical="center" wrapText="1"/>
    </xf>
    <xf numFmtId="177" fontId="2" fillId="0" borderId="0" xfId="3" applyNumberFormat="1" applyFont="1" applyAlignment="1">
      <alignment vertical="center" wrapText="1"/>
    </xf>
    <xf numFmtId="0" fontId="2" fillId="0" borderId="0" xfId="49" applyFont="1" applyAlignment="1">
      <alignment vertical="center" wrapText="1"/>
    </xf>
    <xf numFmtId="176" fontId="1" fillId="3" borderId="1" xfId="49" applyNumberFormat="1" applyFont="1" applyFill="1" applyBorder="1" applyAlignment="1">
      <alignment vertical="center"/>
    </xf>
    <xf numFmtId="0" fontId="1" fillId="3" borderId="1" xfId="49" applyFont="1" applyFill="1" applyBorder="1" applyAlignment="1">
      <alignment horizontal="center" vertical="center"/>
    </xf>
    <xf numFmtId="0" fontId="4" fillId="4" borderId="1" xfId="49" applyFont="1" applyFill="1" applyBorder="1" applyAlignment="1">
      <alignment horizontal="center" vertical="center"/>
    </xf>
    <xf numFmtId="0" fontId="6" fillId="0" borderId="0" xfId="49" applyFont="1" applyAlignment="1">
      <alignment horizontal="left" vertical="center"/>
    </xf>
    <xf numFmtId="0" fontId="7" fillId="0" borderId="0" xfId="0" applyFont="1" applyAlignment="1">
      <alignment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4" xfId="49"/>
    <cellStyle name="千位分隔 5" xfId="50"/>
  </cellStyles>
  <dxfs count="1">
    <dxf>
      <font>
        <name val="宋体"/>
        <scheme val="none"/>
        <family val="3"/>
        <b val="0"/>
        <i val="0"/>
        <strike val="0"/>
        <u val="none"/>
        <sz val="11"/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8"/>
  <sheetViews>
    <sheetView showGridLines="0" tabSelected="1" workbookViewId="0">
      <selection activeCell="F9" sqref="F9"/>
    </sheetView>
  </sheetViews>
  <sheetFormatPr defaultColWidth="20.875" defaultRowHeight="16.8" outlineLevelCol="3"/>
  <cols>
    <col min="1" max="16384" width="20.875" customWidth="1"/>
  </cols>
  <sheetData>
    <row r="1" spans="1:4">
      <c r="A1" s="1" t="s">
        <v>0</v>
      </c>
      <c r="B1" s="1" t="s">
        <v>1</v>
      </c>
      <c r="C1" s="2" t="s">
        <v>2</v>
      </c>
      <c r="D1" s="3"/>
    </row>
    <row r="2" spans="1:4">
      <c r="A2" s="4" t="s">
        <v>3</v>
      </c>
      <c r="B2" s="5">
        <f>SUM(B14:B16)</f>
        <v>0</v>
      </c>
      <c r="C2" s="6" t="s">
        <v>4</v>
      </c>
      <c r="D2" s="3"/>
    </row>
    <row r="3" spans="1:4">
      <c r="A3" s="7" t="s">
        <v>5</v>
      </c>
      <c r="B3" s="8"/>
      <c r="C3" s="9" t="s">
        <v>6</v>
      </c>
      <c r="D3" s="3"/>
    </row>
    <row r="4" spans="1:4">
      <c r="A4" s="7" t="s">
        <v>7</v>
      </c>
      <c r="B4" s="8"/>
      <c r="C4" s="9" t="s">
        <v>6</v>
      </c>
      <c r="D4" s="3"/>
    </row>
    <row r="5" spans="1:4">
      <c r="A5" s="7" t="s">
        <v>8</v>
      </c>
      <c r="B5" s="8"/>
      <c r="C5" s="9" t="s">
        <v>6</v>
      </c>
      <c r="D5" s="3"/>
    </row>
    <row r="6" spans="1:4">
      <c r="A6" s="7" t="s">
        <v>9</v>
      </c>
      <c r="B6" s="8"/>
      <c r="C6" s="9" t="s">
        <v>6</v>
      </c>
      <c r="D6" s="3"/>
    </row>
    <row r="7" spans="1:4">
      <c r="A7" s="10" t="s">
        <v>10</v>
      </c>
      <c r="B7" s="11">
        <f>SUM(B3:B6)</f>
        <v>0</v>
      </c>
      <c r="C7" s="12" t="s">
        <v>4</v>
      </c>
      <c r="D7" s="3"/>
    </row>
    <row r="8" spans="1:4">
      <c r="A8" s="7" t="s">
        <v>5</v>
      </c>
      <c r="B8" s="8"/>
      <c r="C8" s="9" t="s">
        <v>6</v>
      </c>
      <c r="D8" s="3"/>
    </row>
    <row r="9" spans="1:4">
      <c r="A9" s="7" t="s">
        <v>7</v>
      </c>
      <c r="B9" s="8"/>
      <c r="C9" s="9" t="s">
        <v>6</v>
      </c>
      <c r="D9" s="3"/>
    </row>
    <row r="10" spans="1:4">
      <c r="A10" s="7" t="s">
        <v>8</v>
      </c>
      <c r="B10" s="8"/>
      <c r="C10" s="9" t="s">
        <v>6</v>
      </c>
      <c r="D10" s="3"/>
    </row>
    <row r="11" spans="1:4">
      <c r="A11" s="7" t="s">
        <v>9</v>
      </c>
      <c r="B11" s="8"/>
      <c r="C11" s="9" t="s">
        <v>6</v>
      </c>
      <c r="D11" s="3"/>
    </row>
    <row r="12" spans="1:4">
      <c r="A12" s="10" t="s">
        <v>11</v>
      </c>
      <c r="B12" s="11">
        <f>SUM(B8:B11)</f>
        <v>0</v>
      </c>
      <c r="C12" s="12" t="s">
        <v>4</v>
      </c>
      <c r="D12" s="3"/>
    </row>
    <row r="13" spans="1:4">
      <c r="A13" s="13" t="s">
        <v>12</v>
      </c>
      <c r="B13" s="14"/>
      <c r="C13" s="15"/>
      <c r="D13" s="16"/>
    </row>
    <row r="14" spans="1:4">
      <c r="A14" s="7" t="s">
        <v>13</v>
      </c>
      <c r="B14" s="8"/>
      <c r="C14" s="9" t="s">
        <v>6</v>
      </c>
      <c r="D14" s="17"/>
    </row>
    <row r="15" spans="1:4">
      <c r="A15" s="7" t="s">
        <v>14</v>
      </c>
      <c r="B15" s="8"/>
      <c r="C15" s="9" t="s">
        <v>6</v>
      </c>
      <c r="D15" s="17"/>
    </row>
    <row r="16" spans="1:4">
      <c r="A16" s="7" t="s">
        <v>15</v>
      </c>
      <c r="B16" s="8"/>
      <c r="C16" s="9" t="s">
        <v>6</v>
      </c>
      <c r="D16" s="17"/>
    </row>
    <row r="17" customFormat="1" spans="1:4">
      <c r="A17" s="13" t="s">
        <v>16</v>
      </c>
      <c r="B17" s="14"/>
      <c r="C17" s="15"/>
      <c r="D17" s="16"/>
    </row>
    <row r="18" customFormat="1" spans="1:4">
      <c r="A18" s="7" t="s">
        <v>13</v>
      </c>
      <c r="B18" s="8"/>
      <c r="C18" s="9" t="s">
        <v>6</v>
      </c>
      <c r="D18" s="17"/>
    </row>
    <row r="19" customFormat="1" spans="1:4">
      <c r="A19" s="7" t="s">
        <v>14</v>
      </c>
      <c r="B19" s="8"/>
      <c r="C19" s="9" t="s">
        <v>6</v>
      </c>
      <c r="D19" s="17"/>
    </row>
    <row r="20" spans="1:4">
      <c r="A20" s="13" t="s">
        <v>17</v>
      </c>
      <c r="B20" s="14">
        <f>B23+B22+B21</f>
        <v>0</v>
      </c>
      <c r="C20" s="15" t="s">
        <v>4</v>
      </c>
      <c r="D20" s="18"/>
    </row>
    <row r="21" spans="1:4">
      <c r="A21" s="10" t="s">
        <v>13</v>
      </c>
      <c r="B21" s="19">
        <f>B14-B18</f>
        <v>0</v>
      </c>
      <c r="C21" s="20" t="s">
        <v>4</v>
      </c>
      <c r="D21" s="18"/>
    </row>
    <row r="22" spans="1:4">
      <c r="A22" s="10" t="s">
        <v>14</v>
      </c>
      <c r="B22" s="19">
        <f>B15-B19</f>
        <v>0</v>
      </c>
      <c r="C22" s="20" t="s">
        <v>4</v>
      </c>
      <c r="D22" s="18"/>
    </row>
    <row r="23" spans="1:4">
      <c r="A23" s="10" t="s">
        <v>15</v>
      </c>
      <c r="B23" s="19">
        <f>B16</f>
        <v>0</v>
      </c>
      <c r="C23" s="20" t="s">
        <v>4</v>
      </c>
      <c r="D23" s="18"/>
    </row>
    <row r="24" spans="1:4">
      <c r="A24" s="7" t="s">
        <v>18</v>
      </c>
      <c r="B24" s="8"/>
      <c r="C24" s="21" t="s">
        <v>6</v>
      </c>
    </row>
    <row r="25" spans="1:4">
      <c r="A25" s="7" t="s">
        <v>19</v>
      </c>
      <c r="B25" s="8"/>
      <c r="C25" s="21" t="s">
        <v>6</v>
      </c>
    </row>
    <row r="26" spans="1:4">
      <c r="A26" s="10" t="s">
        <v>20</v>
      </c>
      <c r="B26" s="19">
        <f>B21+B22+B23-B24-B25</f>
        <v>0</v>
      </c>
      <c r="C26" s="20" t="s">
        <v>21</v>
      </c>
      <c r="D26" s="22"/>
    </row>
    <row r="27" customFormat="1" spans="1:4">
      <c r="A27" s="10" t="s">
        <v>22</v>
      </c>
      <c r="B27" s="19" t="e">
        <f>B26/B2*100</f>
        <v>#DIV/0!</v>
      </c>
      <c r="C27" s="20" t="s">
        <v>21</v>
      </c>
      <c r="D27" s="22"/>
    </row>
    <row r="28" spans="1:4">
      <c r="A28" s="23" t="s">
        <v>23</v>
      </c>
    </row>
  </sheetData>
  <mergeCells count="3">
    <mergeCell ref="A13:C13"/>
    <mergeCell ref="A17:C17"/>
    <mergeCell ref="A20:C20"/>
  </mergeCells>
  <conditionalFormatting sqref="B24:B25">
    <cfRule type="cellIs" dxfId="0" priority="1" stopIfTrue="1" operator="lessThan">
      <formula>0</formula>
    </cfRule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杨</cp:lastModifiedBy>
  <dcterms:created xsi:type="dcterms:W3CDTF">2023-05-13T19:15:00Z</dcterms:created>
  <dcterms:modified xsi:type="dcterms:W3CDTF">2026-04-08T17:34:48Z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2052-12.1.25205.25205</vt:lpwstr>
  </property>
  <property fmtid="{D5CDD505-2E9C-101B-9397-08002B2CF9AE}" pid="3" name="ICV">
    <vt:lpwstr>4C426A49D7F36BE15437CA69DB7E3F7D_43</vt:lpwstr>
  </property>
  <property fmtid="{D5CDD505-2E9C-101B-9397-08002B2CF9AE}" pid="4" name="CalculationRule">
    <vt:i4>0</vt:i4>
  </property>
</Properties>
</file>