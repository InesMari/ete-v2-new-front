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<sst xmlns="http://schemas.openxmlformats.org/spreadsheetml/2006/main" count="175" uniqueCount="49">
  <si>
    <t>车辆中心收入实际</t>
  </si>
  <si>
    <t>当月实际数据</t>
  </si>
  <si>
    <t>公式说明</t>
  </si>
  <si>
    <t>备注</t>
  </si>
  <si>
    <t>总收入实际</t>
  </si>
  <si>
    <t>自动计算</t>
  </si>
  <si>
    <t>总净利润实际</t>
  </si>
  <si>
    <t>油车总收入</t>
  </si>
  <si>
    <t>填</t>
  </si>
  <si>
    <t>22台油车</t>
  </si>
  <si>
    <t>1、折旧</t>
  </si>
  <si>
    <t>2、保险</t>
  </si>
  <si>
    <t>3、司机工资</t>
  </si>
  <si>
    <t>4、押运工资</t>
  </si>
  <si>
    <t>5、社保及福利</t>
  </si>
  <si>
    <t>固定成本合计</t>
  </si>
  <si>
    <t>1、油费</t>
  </si>
  <si>
    <t>2、ETC</t>
  </si>
  <si>
    <t>3、修理费</t>
  </si>
  <si>
    <t>4、其他（耗费备品备件）</t>
  </si>
  <si>
    <t>变动成本合计</t>
  </si>
  <si>
    <t>总毛利</t>
  </si>
  <si>
    <t>减：车队间接费用</t>
  </si>
  <si>
    <t>减：ETC利息</t>
  </si>
  <si>
    <t>减：公司三费分摊</t>
  </si>
  <si>
    <t>总净利</t>
  </si>
  <si>
    <t>LNG-旧总收入</t>
  </si>
  <si>
    <t>28台LNG-旧</t>
  </si>
  <si>
    <t>1、燃气费</t>
  </si>
  <si>
    <t>减：车队费用</t>
  </si>
  <si>
    <t>减：车贷利息</t>
  </si>
  <si>
    <t>电车总收入</t>
  </si>
  <si>
    <t>30台电车</t>
  </si>
  <si>
    <t>3、电池租金</t>
  </si>
  <si>
    <t>4、司机工资</t>
  </si>
  <si>
    <t>1、电费</t>
  </si>
  <si>
    <t>LNG总收入</t>
  </si>
  <si>
    <t>17台LNG</t>
  </si>
  <si>
    <t>总收入合计</t>
  </si>
  <si>
    <t>总固定成本</t>
  </si>
  <si>
    <t>总变动成本</t>
  </si>
  <si>
    <t>总成本合计</t>
  </si>
  <si>
    <t>总毛利合计</t>
  </si>
  <si>
    <t>总车队费用</t>
  </si>
  <si>
    <t>总车贷利息</t>
  </si>
  <si>
    <t>总ETC利息</t>
  </si>
  <si>
    <t>总三费分摊按收入</t>
  </si>
  <si>
    <t>总净利合计</t>
  </si>
  <si>
    <t>注：灰底黑字部分为公式项，无需填写！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</si>
</sst>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宋体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2F4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8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9">
      <alignment vertical="center"/>
    </xf>
    <xf numFmtId="0" fontId="12" fillId="0" borderId="9">
      <alignment vertical="center"/>
    </xf>
    <xf numFmtId="0" fontId="13" fillId="0" borderId="10">
      <alignment vertical="center"/>
    </xf>
    <xf numFmtId="0" fontId="13" fillId="0" borderId="0">
      <alignment vertical="center"/>
    </xf>
    <xf numFmtId="0" fontId="14" fillId="6" borderId="11">
      <alignment vertical="center"/>
    </xf>
    <xf numFmtId="0" fontId="15" fillId="7" borderId="12">
      <alignment vertical="center"/>
    </xf>
    <xf numFmtId="0" fontId="16" fillId="7" borderId="11">
      <alignment vertical="center"/>
    </xf>
    <xf numFmtId="0" fontId="17" fillId="8" borderId="13">
      <alignment vertical="center"/>
    </xf>
    <xf numFmtId="0" fontId="18" fillId="0" borderId="14">
      <alignment vertical="center"/>
    </xf>
    <xf numFmtId="0" fontId="19" fillId="0" borderId="15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49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38" fontId="3" fillId="2" borderId="1" xfId="49" applyNumberFormat="1" applyFont="1" applyFill="1" applyBorder="1" applyAlignment="1">
      <alignment horizontal="center" vertical="center"/>
    </xf>
    <xf numFmtId="176" fontId="3" fillId="2" borderId="1" xfId="49" applyNumberFormat="1" applyFont="1" applyFill="1" applyBorder="1" applyAlignment="1">
      <alignment horizontal="center" vertical="center"/>
    </xf>
    <xf numFmtId="43" fontId="3" fillId="3" borderId="2" xfId="50" applyNumberFormat="1" applyFont="1" applyFill="1" applyBorder="1" applyAlignment="1">
      <alignment vertical="center"/>
    </xf>
    <xf numFmtId="176" fontId="3" fillId="3" borderId="2" xfId="50" applyNumberFormat="1" applyFont="1" applyFill="1" applyBorder="1" applyAlignment="1">
      <alignment vertical="center"/>
    </xf>
    <xf numFmtId="43" fontId="3" fillId="3" borderId="3" xfId="50" applyNumberFormat="1" applyFont="1" applyFill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43" fontId="3" fillId="4" borderId="2" xfId="50" applyNumberFormat="1" applyFont="1" applyFill="1" applyBorder="1" applyAlignment="1">
      <alignment vertical="center"/>
    </xf>
    <xf numFmtId="176" fontId="3" fillId="4" borderId="2" xfId="50" applyNumberFormat="1" applyFont="1" applyFill="1" applyBorder="1" applyAlignment="1">
      <alignment vertical="center"/>
    </xf>
    <xf numFmtId="43" fontId="4" fillId="4" borderId="3" xfId="5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千位分隔 5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topLeftCell="A60" workbookViewId="0">
      <selection activeCell="J48" sqref="J48"/>
    </sheetView>
  </sheetViews>
  <sheetFormatPr defaultColWidth="8" defaultRowHeight="16.8" outlineLevelCol="3"/>
  <cols>
    <col min="1" max="1" width="23.6442307692308" style="3" customWidth="1"/>
    <col min="2" max="2" width="15.9134615384615" style="4" customWidth="1"/>
    <col min="3" max="3" width="15.4711538461538" style="5" customWidth="1"/>
    <col min="4" max="4" width="13.2980769230769" style="3" customWidth="1"/>
    <col min="5" max="16384" width="8" style="3"/>
  </cols>
  <sheetData>
    <row r="1" s="1" customFormat="1" ht="15" customHeight="1" spans="1:4">
      <c r="A1" s="6" t="s">
        <v>0</v>
      </c>
      <c r="B1" s="7" t="s">
        <v>1</v>
      </c>
      <c r="C1" s="6" t="s">
        <v>2</v>
      </c>
      <c r="D1" s="6" t="s">
        <v>3</v>
      </c>
    </row>
    <row r="2" s="1" customFormat="1" ht="15" customHeight="1" spans="1:4">
      <c r="A2" s="8" t="s">
        <v>4</v>
      </c>
      <c r="B2" s="9">
        <f>B4+B21+B39+B57</f>
        <v>0</v>
      </c>
      <c r="C2" s="10" t="s">
        <v>5</v>
      </c>
      <c r="D2" s="11"/>
    </row>
    <row r="3" s="2" customFormat="1" ht="17.6" spans="1:4">
      <c r="A3" s="8" t="s">
        <v>6</v>
      </c>
      <c r="B3" s="9">
        <f>B20+B38+B56+B74</f>
        <v>0</v>
      </c>
      <c r="C3" s="10" t="s">
        <v>5</v>
      </c>
      <c r="D3" s="12"/>
    </row>
    <row r="4" s="3" customFormat="1" spans="1:4">
      <c r="A4" s="13" t="s">
        <v>7</v>
      </c>
      <c r="B4" s="14"/>
      <c r="C4" s="15" t="s">
        <v>8</v>
      </c>
      <c r="D4" s="16" t="s">
        <v>9</v>
      </c>
    </row>
    <row r="5" s="3" customFormat="1" spans="1:4">
      <c r="A5" s="13" t="s">
        <v>10</v>
      </c>
      <c r="B5" s="14"/>
      <c r="C5" s="15" t="s">
        <v>8</v>
      </c>
      <c r="D5" s="17"/>
    </row>
    <row r="6" s="3" customFormat="1" spans="1:4">
      <c r="A6" s="13" t="s">
        <v>11</v>
      </c>
      <c r="B6" s="14"/>
      <c r="C6" s="15" t="s">
        <v>8</v>
      </c>
      <c r="D6" s="17"/>
    </row>
    <row r="7" s="3" customFormat="1" spans="1:4">
      <c r="A7" s="13" t="s">
        <v>12</v>
      </c>
      <c r="B7" s="14"/>
      <c r="C7" s="15" t="s">
        <v>8</v>
      </c>
      <c r="D7" s="17"/>
    </row>
    <row r="8" s="3" customFormat="1" spans="1:4">
      <c r="A8" s="13" t="s">
        <v>13</v>
      </c>
      <c r="B8" s="14"/>
      <c r="C8" s="15" t="s">
        <v>8</v>
      </c>
      <c r="D8" s="17"/>
    </row>
    <row r="9" s="3" customFormat="1" spans="1:4">
      <c r="A9" s="13" t="s">
        <v>14</v>
      </c>
      <c r="B9" s="14"/>
      <c r="C9" s="15" t="s">
        <v>8</v>
      </c>
      <c r="D9" s="17"/>
    </row>
    <row r="10" s="3" customFormat="1" spans="1:4">
      <c r="A10" s="8" t="s">
        <v>15</v>
      </c>
      <c r="B10" s="9">
        <f>SUM(B5:B9)</f>
        <v>0</v>
      </c>
      <c r="C10" s="10" t="s">
        <v>5</v>
      </c>
      <c r="D10" s="17"/>
    </row>
    <row r="11" s="3" customFormat="1" spans="1:4">
      <c r="A11" s="13" t="s">
        <v>16</v>
      </c>
      <c r="B11" s="14"/>
      <c r="C11" s="15" t="s">
        <v>8</v>
      </c>
      <c r="D11" s="17"/>
    </row>
    <row r="12" s="3" customFormat="1" spans="1:4">
      <c r="A12" s="13" t="s">
        <v>17</v>
      </c>
      <c r="B12" s="14"/>
      <c r="C12" s="15" t="s">
        <v>8</v>
      </c>
      <c r="D12" s="17"/>
    </row>
    <row r="13" s="3" customFormat="1" spans="1:4">
      <c r="A13" s="13" t="s">
        <v>18</v>
      </c>
      <c r="B13" s="14"/>
      <c r="C13" s="15" t="s">
        <v>8</v>
      </c>
      <c r="D13" s="17"/>
    </row>
    <row r="14" s="3" customFormat="1" spans="1:4">
      <c r="A14" s="13" t="s">
        <v>19</v>
      </c>
      <c r="B14" s="14"/>
      <c r="C14" s="15" t="s">
        <v>8</v>
      </c>
      <c r="D14" s="17"/>
    </row>
    <row r="15" s="3" customFormat="1" spans="1:4">
      <c r="A15" s="8" t="s">
        <v>20</v>
      </c>
      <c r="B15" s="9">
        <f>SUM(B11:B14)</f>
        <v>0</v>
      </c>
      <c r="C15" s="10" t="s">
        <v>5</v>
      </c>
      <c r="D15" s="17"/>
    </row>
    <row r="16" s="3" customFormat="1" spans="1:4">
      <c r="A16" s="8" t="s">
        <v>21</v>
      </c>
      <c r="B16" s="9">
        <f>B4-B10-B15</f>
        <v>0</v>
      </c>
      <c r="C16" s="10" t="s">
        <v>5</v>
      </c>
      <c r="D16" s="17"/>
    </row>
    <row r="17" s="3" customFormat="1" spans="1:4">
      <c r="A17" s="13" t="s">
        <v>22</v>
      </c>
      <c r="B17" s="14"/>
      <c r="C17" s="15" t="s">
        <v>8</v>
      </c>
      <c r="D17" s="17"/>
    </row>
    <row r="18" s="3" customFormat="1" spans="1:4">
      <c r="A18" s="13" t="s">
        <v>23</v>
      </c>
      <c r="B18" s="14"/>
      <c r="C18" s="15" t="s">
        <v>8</v>
      </c>
      <c r="D18" s="17"/>
    </row>
    <row r="19" s="3" customFormat="1" spans="1:4">
      <c r="A19" s="13" t="s">
        <v>24</v>
      </c>
      <c r="B19" s="14"/>
      <c r="C19" s="15" t="s">
        <v>8</v>
      </c>
      <c r="D19" s="17"/>
    </row>
    <row r="20" s="3" customFormat="1" spans="1:4">
      <c r="A20" s="8" t="s">
        <v>25</v>
      </c>
      <c r="B20" s="9">
        <f>B16-B17-B18-B19</f>
        <v>0</v>
      </c>
      <c r="C20" s="10" t="s">
        <v>5</v>
      </c>
      <c r="D20" s="18"/>
    </row>
    <row r="21" s="3" customFormat="1" spans="1:4">
      <c r="A21" s="13" t="s">
        <v>26</v>
      </c>
      <c r="B21" s="14"/>
      <c r="C21" s="15" t="s">
        <v>8</v>
      </c>
      <c r="D21" s="16" t="s">
        <v>27</v>
      </c>
    </row>
    <row r="22" s="3" customFormat="1" spans="1:4">
      <c r="A22" s="13" t="s">
        <v>10</v>
      </c>
      <c r="B22" s="14"/>
      <c r="C22" s="15" t="s">
        <v>8</v>
      </c>
      <c r="D22" s="17"/>
    </row>
    <row r="23" s="3" customFormat="1" spans="1:4">
      <c r="A23" s="13" t="s">
        <v>11</v>
      </c>
      <c r="B23" s="14"/>
      <c r="C23" s="15" t="s">
        <v>8</v>
      </c>
      <c r="D23" s="17"/>
    </row>
    <row r="24" s="3" customFormat="1" spans="1:4">
      <c r="A24" s="13" t="s">
        <v>12</v>
      </c>
      <c r="B24" s="14"/>
      <c r="C24" s="15" t="s">
        <v>8</v>
      </c>
      <c r="D24" s="17"/>
    </row>
    <row r="25" s="3" customFormat="1" spans="1:4">
      <c r="A25" s="13" t="s">
        <v>13</v>
      </c>
      <c r="B25" s="14"/>
      <c r="C25" s="15" t="s">
        <v>8</v>
      </c>
      <c r="D25" s="17"/>
    </row>
    <row r="26" s="3" customFormat="1" spans="1:4">
      <c r="A26" s="13" t="s">
        <v>14</v>
      </c>
      <c r="B26" s="14"/>
      <c r="C26" s="15" t="s">
        <v>8</v>
      </c>
      <c r="D26" s="17"/>
    </row>
    <row r="27" s="3" customFormat="1" spans="1:4">
      <c r="A27" s="8" t="s">
        <v>15</v>
      </c>
      <c r="B27" s="9">
        <f>SUM(B22:B26)</f>
        <v>0</v>
      </c>
      <c r="C27" s="10" t="s">
        <v>5</v>
      </c>
      <c r="D27" s="17"/>
    </row>
    <row r="28" s="3" customFormat="1" spans="1:4">
      <c r="A28" s="13" t="s">
        <v>28</v>
      </c>
      <c r="B28" s="14"/>
      <c r="C28" s="15" t="s">
        <v>8</v>
      </c>
      <c r="D28" s="17"/>
    </row>
    <row r="29" s="3" customFormat="1" spans="1:4">
      <c r="A29" s="13" t="s">
        <v>17</v>
      </c>
      <c r="B29" s="14"/>
      <c r="C29" s="15" t="s">
        <v>8</v>
      </c>
      <c r="D29" s="17"/>
    </row>
    <row r="30" s="3" customFormat="1" spans="1:4">
      <c r="A30" s="13" t="s">
        <v>18</v>
      </c>
      <c r="B30" s="14"/>
      <c r="C30" s="15" t="s">
        <v>8</v>
      </c>
      <c r="D30" s="17"/>
    </row>
    <row r="31" s="3" customFormat="1" spans="1:4">
      <c r="A31" s="13" t="s">
        <v>19</v>
      </c>
      <c r="B31" s="14"/>
      <c r="C31" s="15" t="s">
        <v>8</v>
      </c>
      <c r="D31" s="17"/>
    </row>
    <row r="32" s="3" customFormat="1" spans="1:4">
      <c r="A32" s="8" t="s">
        <v>20</v>
      </c>
      <c r="B32" s="9">
        <f>SUM(B28:B31)</f>
        <v>0</v>
      </c>
      <c r="C32" s="10" t="s">
        <v>5</v>
      </c>
      <c r="D32" s="17"/>
    </row>
    <row r="33" s="3" customFormat="1" spans="1:4">
      <c r="A33" s="8" t="s">
        <v>21</v>
      </c>
      <c r="B33" s="9">
        <f>B21-B27-B32</f>
        <v>0</v>
      </c>
      <c r="C33" s="10" t="s">
        <v>5</v>
      </c>
      <c r="D33" s="17"/>
    </row>
    <row r="34" s="3" customFormat="1" spans="1:4">
      <c r="A34" s="13" t="s">
        <v>29</v>
      </c>
      <c r="B34" s="14"/>
      <c r="C34" s="15" t="s">
        <v>8</v>
      </c>
      <c r="D34" s="17"/>
    </row>
    <row r="35" s="3" customFormat="1" spans="1:4">
      <c r="A35" s="13" t="s">
        <v>30</v>
      </c>
      <c r="B35" s="14"/>
      <c r="C35" s="15" t="s">
        <v>8</v>
      </c>
      <c r="D35" s="17"/>
    </row>
    <row r="36" s="3" customFormat="1" spans="1:4">
      <c r="A36" s="13" t="s">
        <v>23</v>
      </c>
      <c r="B36" s="14"/>
      <c r="C36" s="15" t="s">
        <v>8</v>
      </c>
      <c r="D36" s="17"/>
    </row>
    <row r="37" s="3" customFormat="1" spans="1:4">
      <c r="A37" s="13" t="s">
        <v>24</v>
      </c>
      <c r="B37" s="14"/>
      <c r="C37" s="15" t="s">
        <v>8</v>
      </c>
      <c r="D37" s="17"/>
    </row>
    <row r="38" s="3" customFormat="1" spans="1:4">
      <c r="A38" s="8" t="s">
        <v>25</v>
      </c>
      <c r="B38" s="9">
        <f>B33-B34-B35-B36-B37</f>
        <v>0</v>
      </c>
      <c r="C38" s="10" t="s">
        <v>5</v>
      </c>
      <c r="D38" s="18"/>
    </row>
    <row r="39" s="3" customFormat="1" spans="1:4">
      <c r="A39" s="13" t="s">
        <v>31</v>
      </c>
      <c r="B39" s="14"/>
      <c r="C39" s="15" t="s">
        <v>8</v>
      </c>
      <c r="D39" s="16" t="s">
        <v>32</v>
      </c>
    </row>
    <row r="40" s="3" customFormat="1" spans="1:4">
      <c r="A40" s="13" t="s">
        <v>10</v>
      </c>
      <c r="B40" s="14"/>
      <c r="C40" s="15" t="s">
        <v>8</v>
      </c>
      <c r="D40" s="17"/>
    </row>
    <row r="41" s="3" customFormat="1" spans="1:4">
      <c r="A41" s="13" t="s">
        <v>11</v>
      </c>
      <c r="B41" s="14"/>
      <c r="C41" s="15" t="s">
        <v>8</v>
      </c>
      <c r="D41" s="17"/>
    </row>
    <row r="42" s="3" customFormat="1" spans="1:4">
      <c r="A42" s="13" t="s">
        <v>33</v>
      </c>
      <c r="B42" s="14"/>
      <c r="C42" s="15" t="s">
        <v>8</v>
      </c>
      <c r="D42" s="17"/>
    </row>
    <row r="43" s="3" customFormat="1" spans="1:4">
      <c r="A43" s="13" t="s">
        <v>34</v>
      </c>
      <c r="B43" s="14"/>
      <c r="C43" s="15" t="s">
        <v>8</v>
      </c>
      <c r="D43" s="17"/>
    </row>
    <row r="44" s="3" customFormat="1" spans="1:4">
      <c r="A44" s="13" t="s">
        <v>14</v>
      </c>
      <c r="B44" s="14"/>
      <c r="C44" s="15" t="s">
        <v>8</v>
      </c>
      <c r="D44" s="17"/>
    </row>
    <row r="45" s="3" customFormat="1" spans="1:4">
      <c r="A45" s="8" t="s">
        <v>15</v>
      </c>
      <c r="B45" s="9">
        <f>SUM(B40:B44)</f>
        <v>0</v>
      </c>
      <c r="C45" s="10" t="s">
        <v>5</v>
      </c>
      <c r="D45" s="17"/>
    </row>
    <row r="46" s="3" customFormat="1" spans="1:4">
      <c r="A46" s="13" t="s">
        <v>35</v>
      </c>
      <c r="B46" s="14"/>
      <c r="C46" s="15" t="s">
        <v>8</v>
      </c>
      <c r="D46" s="17"/>
    </row>
    <row r="47" s="3" customFormat="1" spans="1:4">
      <c r="A47" s="13" t="s">
        <v>17</v>
      </c>
      <c r="B47" s="14"/>
      <c r="C47" s="15" t="s">
        <v>8</v>
      </c>
      <c r="D47" s="17"/>
    </row>
    <row r="48" s="3" customFormat="1" spans="1:4">
      <c r="A48" s="13" t="s">
        <v>18</v>
      </c>
      <c r="B48" s="14"/>
      <c r="C48" s="15" t="s">
        <v>8</v>
      </c>
      <c r="D48" s="17"/>
    </row>
    <row r="49" s="3" customFormat="1" spans="1:4">
      <c r="A49" s="13" t="s">
        <v>19</v>
      </c>
      <c r="B49" s="14"/>
      <c r="C49" s="15" t="s">
        <v>8</v>
      </c>
      <c r="D49" s="17"/>
    </row>
    <row r="50" s="3" customFormat="1" spans="1:4">
      <c r="A50" s="8" t="s">
        <v>20</v>
      </c>
      <c r="B50" s="9">
        <f>SUM(B46:B49)</f>
        <v>0</v>
      </c>
      <c r="C50" s="10" t="s">
        <v>5</v>
      </c>
      <c r="D50" s="17"/>
    </row>
    <row r="51" s="3" customFormat="1" spans="1:4">
      <c r="A51" s="8" t="s">
        <v>21</v>
      </c>
      <c r="B51" s="9">
        <f>B39-B45-B50</f>
        <v>0</v>
      </c>
      <c r="C51" s="10" t="s">
        <v>5</v>
      </c>
      <c r="D51" s="17"/>
    </row>
    <row r="52" s="3" customFormat="1" spans="1:4">
      <c r="A52" s="13" t="s">
        <v>22</v>
      </c>
      <c r="B52" s="14"/>
      <c r="C52" s="15" t="s">
        <v>8</v>
      </c>
      <c r="D52" s="17"/>
    </row>
    <row r="53" s="3" customFormat="1" spans="1:4">
      <c r="A53" s="13" t="s">
        <v>30</v>
      </c>
      <c r="B53" s="14"/>
      <c r="C53" s="15" t="s">
        <v>8</v>
      </c>
      <c r="D53" s="17"/>
    </row>
    <row r="54" s="3" customFormat="1" spans="1:4">
      <c r="A54" s="13" t="s">
        <v>23</v>
      </c>
      <c r="B54" s="14"/>
      <c r="C54" s="15" t="s">
        <v>8</v>
      </c>
      <c r="D54" s="17"/>
    </row>
    <row r="55" s="3" customFormat="1" spans="1:4">
      <c r="A55" s="13" t="s">
        <v>24</v>
      </c>
      <c r="B55" s="14"/>
      <c r="C55" s="15" t="s">
        <v>8</v>
      </c>
      <c r="D55" s="17"/>
    </row>
    <row r="56" s="3" customFormat="1" spans="1:4">
      <c r="A56" s="8" t="s">
        <v>25</v>
      </c>
      <c r="B56" s="9">
        <f>B51-B52-B53-B54-B55</f>
        <v>0</v>
      </c>
      <c r="C56" s="10" t="s">
        <v>5</v>
      </c>
      <c r="D56" s="18"/>
    </row>
    <row r="57" s="3" customFormat="1" spans="1:4">
      <c r="A57" s="13" t="s">
        <v>36</v>
      </c>
      <c r="B57" s="14"/>
      <c r="C57" s="15" t="s">
        <v>8</v>
      </c>
      <c r="D57" s="16" t="s">
        <v>37</v>
      </c>
    </row>
    <row r="58" s="3" customFormat="1" spans="1:4">
      <c r="A58" s="13" t="s">
        <v>10</v>
      </c>
      <c r="B58" s="14"/>
      <c r="C58" s="15" t="s">
        <v>8</v>
      </c>
      <c r="D58" s="17"/>
    </row>
    <row r="59" s="3" customFormat="1" spans="1:4">
      <c r="A59" s="13" t="s">
        <v>11</v>
      </c>
      <c r="B59" s="14"/>
      <c r="C59" s="15" t="s">
        <v>8</v>
      </c>
      <c r="D59" s="17"/>
    </row>
    <row r="60" s="3" customFormat="1" spans="1:4">
      <c r="A60" s="13" t="s">
        <v>33</v>
      </c>
      <c r="B60" s="14"/>
      <c r="C60" s="15" t="s">
        <v>8</v>
      </c>
      <c r="D60" s="17"/>
    </row>
    <row r="61" s="3" customFormat="1" spans="1:4">
      <c r="A61" s="13" t="s">
        <v>34</v>
      </c>
      <c r="B61" s="14"/>
      <c r="C61" s="15" t="s">
        <v>8</v>
      </c>
      <c r="D61" s="17"/>
    </row>
    <row r="62" s="3" customFormat="1" spans="1:4">
      <c r="A62" s="13" t="s">
        <v>14</v>
      </c>
      <c r="B62" s="14"/>
      <c r="C62" s="15" t="s">
        <v>8</v>
      </c>
      <c r="D62" s="17"/>
    </row>
    <row r="63" s="3" customFormat="1" spans="1:4">
      <c r="A63" s="8" t="s">
        <v>15</v>
      </c>
      <c r="B63" s="9">
        <f>SUM(B58:B62)</f>
        <v>0</v>
      </c>
      <c r="C63" s="10" t="s">
        <v>5</v>
      </c>
      <c r="D63" s="17"/>
    </row>
    <row r="64" s="3" customFormat="1" spans="1:4">
      <c r="A64" s="13" t="s">
        <v>28</v>
      </c>
      <c r="B64" s="14"/>
      <c r="C64" s="15" t="s">
        <v>8</v>
      </c>
      <c r="D64" s="17"/>
    </row>
    <row r="65" s="3" customFormat="1" spans="1:4">
      <c r="A65" s="13" t="s">
        <v>17</v>
      </c>
      <c r="B65" s="14"/>
      <c r="C65" s="15" t="s">
        <v>8</v>
      </c>
      <c r="D65" s="17"/>
    </row>
    <row r="66" s="3" customFormat="1" spans="1:4">
      <c r="A66" s="13" t="s">
        <v>18</v>
      </c>
      <c r="B66" s="14"/>
      <c r="C66" s="15" t="s">
        <v>8</v>
      </c>
      <c r="D66" s="17"/>
    </row>
    <row r="67" s="3" customFormat="1" spans="1:4">
      <c r="A67" s="13" t="s">
        <v>19</v>
      </c>
      <c r="B67" s="14"/>
      <c r="C67" s="15" t="s">
        <v>8</v>
      </c>
      <c r="D67" s="17"/>
    </row>
    <row r="68" s="3" customFormat="1" spans="1:4">
      <c r="A68" s="8" t="s">
        <v>20</v>
      </c>
      <c r="B68" s="9">
        <f>SUM(B64:B67)</f>
        <v>0</v>
      </c>
      <c r="C68" s="10" t="s">
        <v>5</v>
      </c>
      <c r="D68" s="17"/>
    </row>
    <row r="69" s="3" customFormat="1" spans="1:4">
      <c r="A69" s="8" t="s">
        <v>21</v>
      </c>
      <c r="B69" s="9">
        <f>B57-B63-B68</f>
        <v>0</v>
      </c>
      <c r="C69" s="10" t="s">
        <v>5</v>
      </c>
      <c r="D69" s="17"/>
    </row>
    <row r="70" s="3" customFormat="1" spans="1:4">
      <c r="A70" s="13" t="s">
        <v>22</v>
      </c>
      <c r="B70" s="14"/>
      <c r="C70" s="15" t="s">
        <v>8</v>
      </c>
      <c r="D70" s="17"/>
    </row>
    <row r="71" s="3" customFormat="1" spans="1:4">
      <c r="A71" s="13" t="s">
        <v>30</v>
      </c>
      <c r="B71" s="14"/>
      <c r="C71" s="15" t="s">
        <v>8</v>
      </c>
      <c r="D71" s="17"/>
    </row>
    <row r="72" s="3" customFormat="1" spans="1:4">
      <c r="A72" s="13" t="s">
        <v>23</v>
      </c>
      <c r="B72" s="14"/>
      <c r="C72" s="15" t="s">
        <v>8</v>
      </c>
      <c r="D72" s="17"/>
    </row>
    <row r="73" s="3" customFormat="1" spans="1:4">
      <c r="A73" s="13" t="s">
        <v>24</v>
      </c>
      <c r="B73" s="14"/>
      <c r="C73" s="15" t="s">
        <v>8</v>
      </c>
      <c r="D73" s="17"/>
    </row>
    <row r="74" s="3" customFormat="1" spans="1:4">
      <c r="A74" s="8" t="s">
        <v>25</v>
      </c>
      <c r="B74" s="9">
        <f>B69-B70-B71-B72-B73</f>
        <v>0</v>
      </c>
      <c r="C74" s="10" t="s">
        <v>5</v>
      </c>
      <c r="D74" s="18"/>
    </row>
    <row r="75" s="3" customFormat="1" spans="1:4">
      <c r="A75" s="8" t="s">
        <v>38</v>
      </c>
      <c r="B75" s="9">
        <f>B4+B21+B39+B57</f>
        <v>0</v>
      </c>
      <c r="C75" s="10" t="s">
        <v>5</v>
      </c>
      <c r="D75" s="19"/>
    </row>
    <row r="76" s="3" customFormat="1" spans="1:4">
      <c r="A76" s="8" t="s">
        <v>39</v>
      </c>
      <c r="B76" s="9">
        <f>B10+B27+B45+B63</f>
        <v>0</v>
      </c>
      <c r="C76" s="10" t="s">
        <v>5</v>
      </c>
      <c r="D76" s="19"/>
    </row>
    <row r="77" s="3" customFormat="1" spans="1:4">
      <c r="A77" s="8" t="s">
        <v>40</v>
      </c>
      <c r="B77" s="9">
        <f>B15+B32+B50+B68</f>
        <v>0</v>
      </c>
      <c r="C77" s="10" t="s">
        <v>5</v>
      </c>
      <c r="D77" s="19"/>
    </row>
    <row r="78" s="3" customFormat="1" spans="1:4">
      <c r="A78" s="8" t="s">
        <v>41</v>
      </c>
      <c r="B78" s="9">
        <f>B76+B77</f>
        <v>0</v>
      </c>
      <c r="C78" s="10" t="s">
        <v>5</v>
      </c>
      <c r="D78" s="19"/>
    </row>
    <row r="79" s="3" customFormat="1" spans="1:4">
      <c r="A79" s="8" t="s">
        <v>42</v>
      </c>
      <c r="B79" s="9">
        <f>B16+B33+B51+B69</f>
        <v>0</v>
      </c>
      <c r="C79" s="10" t="s">
        <v>5</v>
      </c>
      <c r="D79" s="19"/>
    </row>
    <row r="80" s="3" customFormat="1" spans="1:4">
      <c r="A80" s="8" t="s">
        <v>43</v>
      </c>
      <c r="B80" s="9">
        <f>B17+B34+B52+B70</f>
        <v>0</v>
      </c>
      <c r="C80" s="10" t="s">
        <v>5</v>
      </c>
      <c r="D80" s="19"/>
    </row>
    <row r="81" s="3" customFormat="1" spans="1:4">
      <c r="A81" s="8" t="s">
        <v>44</v>
      </c>
      <c r="B81" s="9">
        <f>B35+B53+B71</f>
        <v>0</v>
      </c>
      <c r="C81" s="10" t="s">
        <v>5</v>
      </c>
      <c r="D81" s="19"/>
    </row>
    <row r="82" s="3" customFormat="1" spans="1:4">
      <c r="A82" s="8" t="s">
        <v>45</v>
      </c>
      <c r="B82" s="9">
        <f t="shared" ref="B82:B84" si="0">B18+B36+B54+B72</f>
        <v>0</v>
      </c>
      <c r="C82" s="10" t="s">
        <v>5</v>
      </c>
      <c r="D82" s="19"/>
    </row>
    <row r="83" s="3" customFormat="1" spans="1:4">
      <c r="A83" s="8" t="s">
        <v>46</v>
      </c>
      <c r="B83" s="9">
        <f t="shared" si="0"/>
        <v>0</v>
      </c>
      <c r="C83" s="10" t="s">
        <v>5</v>
      </c>
      <c r="D83" s="19"/>
    </row>
    <row r="84" s="3" customFormat="1" spans="1:4">
      <c r="A84" s="8" t="s">
        <v>47</v>
      </c>
      <c r="B84" s="9">
        <f t="shared" si="0"/>
        <v>0</v>
      </c>
      <c r="C84" s="10" t="s">
        <v>5</v>
      </c>
      <c r="D84" s="19"/>
    </row>
    <row r="85" ht="50" customHeight="1" spans="1:4">
      <c r="A85" s="20" t="s">
        <v>48</v>
      </c>
    </row>
  </sheetData>
  <mergeCells count="4">
    <mergeCell ref="D4:D20"/>
    <mergeCell ref="D21:D38"/>
    <mergeCell ref="D39:D56"/>
    <mergeCell ref="D57:D7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edz</cp:lastModifiedBy>
  <dcterms:created xsi:type="dcterms:W3CDTF">2023-05-13T11:15:00Z</dcterms:created>
  <dcterms:modified xsi:type="dcterms:W3CDTF">2026-05-08T09:56:29Z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CC213053C28795ED4427CA6960692A79_43</vt:lpwstr>
  </property>
  <property fmtid="{D5CDD505-2E9C-101B-9397-08002B2CF9AE}" pid="4" name="CalculationRule">
    <vt:i4>0</vt:i4>
  </property>
</Properties>
</file>