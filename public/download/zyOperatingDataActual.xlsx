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<sst xmlns="http://schemas.openxmlformats.org/spreadsheetml/2006/main" count="64" uniqueCount="34">
  <si>
    <t>中源运输收入实际</t>
  </si>
  <si>
    <t>当月数据</t>
  </si>
  <si>
    <t>公式说明</t>
  </si>
  <si>
    <t>总收入实际</t>
  </si>
  <si>
    <t>自动计算</t>
  </si>
  <si>
    <t>其中：自有车</t>
  </si>
  <si>
    <t>填</t>
  </si>
  <si>
    <t>其中：外请车</t>
  </si>
  <si>
    <t>总净利润实际</t>
  </si>
  <si>
    <t>中源车总收入</t>
  </si>
  <si>
    <t>1、折旧-挂+车厢</t>
  </si>
  <si>
    <t>2、保险</t>
  </si>
  <si>
    <t>3、GPS+检测</t>
  </si>
  <si>
    <t>4、车辆租金</t>
  </si>
  <si>
    <t>5、司机工资</t>
  </si>
  <si>
    <t>6、押运工资</t>
  </si>
  <si>
    <t>7、社保及福利</t>
  </si>
  <si>
    <t>固定成本合计</t>
  </si>
  <si>
    <t>1、燃气</t>
  </si>
  <si>
    <t>2、油费</t>
  </si>
  <si>
    <t>3、ETC</t>
  </si>
  <si>
    <t>4、修理费</t>
  </si>
  <si>
    <t>5、其他（耗费备品备件）</t>
  </si>
  <si>
    <t>自有车变动成本合计</t>
  </si>
  <si>
    <t>自有车毛利</t>
  </si>
  <si>
    <t>外请车成本</t>
  </si>
  <si>
    <t>外请车毛利</t>
  </si>
  <si>
    <t>总毛利</t>
  </si>
  <si>
    <t>减：车队间接费用</t>
  </si>
  <si>
    <t>减：车厢贷利息-5厢5挂</t>
  </si>
  <si>
    <t>减：车厢贷利息-15厢</t>
  </si>
  <si>
    <t>减：公司三费分摊</t>
  </si>
  <si>
    <t>总净利</t>
  </si>
  <si>
    <t>注：灰底黑字部分为公式项，无需填写！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</si>
</sst>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b/>
      <sz val="9"/>
      <name val="微软雅黑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2F44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6" borderId="6">
      <alignment vertical="center"/>
    </xf>
    <xf numFmtId="0" fontId="16" fillId="7" borderId="7">
      <alignment vertical="center"/>
    </xf>
    <xf numFmtId="0" fontId="17" fillId="7" borderId="6">
      <alignment vertical="center"/>
    </xf>
    <xf numFmtId="0" fontId="18" fillId="8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</cellStyleXfs>
  <cellXfs count="17">
    <xf numFmtId="0" fontId="0" fillId="0" borderId="0" xfId="0" applyAlignment="1">
      <alignment vertical="center"/>
    </xf>
    <xf numFmtId="0" fontId="1" fillId="0" borderId="0" xfId="49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38" fontId="2" fillId="2" borderId="1" xfId="49" applyNumberFormat="1" applyFont="1" applyFill="1" applyBorder="1" applyAlignment="1">
      <alignment horizontal="center" vertical="center"/>
    </xf>
    <xf numFmtId="176" fontId="2" fillId="2" borderId="1" xfId="49" applyNumberFormat="1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vertical="center"/>
    </xf>
    <xf numFmtId="176" fontId="2" fillId="3" borderId="1" xfId="50" applyNumberFormat="1" applyFont="1" applyFill="1" applyBorder="1" applyAlignment="1">
      <alignment vertical="center"/>
    </xf>
    <xf numFmtId="43" fontId="2" fillId="3" borderId="1" xfId="50" applyNumberFormat="1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vertical="center"/>
    </xf>
    <xf numFmtId="176" fontId="2" fillId="0" borderId="1" xfId="50" applyNumberFormat="1" applyFont="1" applyFill="1" applyBorder="1" applyAlignment="1">
      <alignment vertical="center"/>
    </xf>
    <xf numFmtId="0" fontId="4" fillId="4" borderId="2" xfId="49" applyFont="1" applyFill="1" applyBorder="1" applyAlignment="1">
      <alignment horizontal="center" vertical="center"/>
    </xf>
    <xf numFmtId="0" fontId="2" fillId="3" borderId="2" xfId="49" applyFont="1" applyFill="1" applyBorder="1" applyAlignment="1">
      <alignment vertical="center"/>
    </xf>
    <xf numFmtId="0" fontId="2" fillId="3" borderId="1" xfId="49" applyFont="1" applyFill="1" applyBorder="1" applyAlignment="1">
      <alignment vertical="center"/>
    </xf>
    <xf numFmtId="176" fontId="3" fillId="3" borderId="1" xfId="49" applyNumberFormat="1" applyFont="1" applyFill="1" applyBorder="1" applyAlignment="1">
      <alignment horizontal="center" vertical="center"/>
    </xf>
    <xf numFmtId="0" fontId="5" fillId="3" borderId="1" xfId="49" applyFont="1" applyFill="1" applyBorder="1" applyAlignment="1">
      <alignment vertical="center"/>
    </xf>
    <xf numFmtId="0" fontId="6" fillId="0" borderId="0" xfId="0" applyFont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千位分隔 5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workbookViewId="0">
      <selection activeCell="D13" sqref="D13"/>
    </sheetView>
  </sheetViews>
  <sheetFormatPr defaultColWidth="8" defaultRowHeight="13.5" outlineLevelCol="2"/>
  <cols>
    <col min="1" max="1" width="19.7916666666667" style="2" customWidth="1"/>
    <col min="2" max="2" width="14.8833333333333" style="3" customWidth="1"/>
    <col min="3" max="3" width="11.3166666666667" style="2" customWidth="1"/>
    <col min="4" max="16384" width="8" style="2"/>
  </cols>
  <sheetData>
    <row r="1" s="1" customFormat="1" ht="15" customHeight="1" spans="1:3">
      <c r="A1" s="4" t="s">
        <v>0</v>
      </c>
      <c r="B1" s="5" t="s">
        <v>1</v>
      </c>
      <c r="C1" s="4" t="s">
        <v>2</v>
      </c>
    </row>
    <row r="2" s="1" customFormat="1" ht="15" customHeight="1" spans="1:3">
      <c r="A2" s="6" t="s">
        <v>3</v>
      </c>
      <c r="B2" s="7">
        <f>B3+B4</f>
        <v>0</v>
      </c>
      <c r="C2" s="8" t="s">
        <v>4</v>
      </c>
    </row>
    <row r="3" s="1" customFormat="1" ht="15" customHeight="1" spans="1:3">
      <c r="A3" s="9" t="s">
        <v>5</v>
      </c>
      <c r="B3" s="10"/>
      <c r="C3" s="11" t="s">
        <v>6</v>
      </c>
    </row>
    <row r="4" s="1" customFormat="1" ht="15" customHeight="1" spans="1:3">
      <c r="A4" s="9" t="s">
        <v>7</v>
      </c>
      <c r="B4" s="10"/>
      <c r="C4" s="11" t="s">
        <v>6</v>
      </c>
    </row>
    <row r="5" s="1" customFormat="1" ht="15" customHeight="1" spans="1:3">
      <c r="A5" s="12" t="s">
        <v>8</v>
      </c>
      <c r="B5" s="7">
        <f>B26-B27-B28-B29-B30</f>
        <v>0</v>
      </c>
      <c r="C5" s="8" t="s">
        <v>4</v>
      </c>
    </row>
    <row r="6" s="2" customFormat="1" ht="14.25" spans="1:3">
      <c r="A6" s="13" t="s">
        <v>9</v>
      </c>
      <c r="B6" s="14">
        <f>B7+B8</f>
        <v>0</v>
      </c>
      <c r="C6" s="8" t="s">
        <v>4</v>
      </c>
    </row>
    <row r="7" s="2" customFormat="1" ht="14.25" spans="1:3">
      <c r="A7" s="9" t="s">
        <v>5</v>
      </c>
      <c r="B7" s="10"/>
      <c r="C7" s="11" t="s">
        <v>6</v>
      </c>
    </row>
    <row r="8" s="2" customFormat="1" ht="14.25" spans="1:3">
      <c r="A8" s="9" t="s">
        <v>7</v>
      </c>
      <c r="B8" s="10"/>
      <c r="C8" s="11" t="s">
        <v>6</v>
      </c>
    </row>
    <row r="9" s="2" customFormat="1" ht="14.25" spans="1:3">
      <c r="A9" s="9" t="s">
        <v>10</v>
      </c>
      <c r="B9" s="10"/>
      <c r="C9" s="11" t="s">
        <v>6</v>
      </c>
    </row>
    <row r="10" s="2" customFormat="1" ht="14.25" spans="1:3">
      <c r="A10" s="9" t="s">
        <v>11</v>
      </c>
      <c r="B10" s="10"/>
      <c r="C10" s="11" t="s">
        <v>6</v>
      </c>
    </row>
    <row r="11" s="2" customFormat="1" ht="14.25" spans="1:3">
      <c r="A11" s="9" t="s">
        <v>12</v>
      </c>
      <c r="B11" s="10"/>
      <c r="C11" s="11" t="s">
        <v>6</v>
      </c>
    </row>
    <row r="12" s="2" customFormat="1" ht="14.25" spans="1:3">
      <c r="A12" s="9" t="s">
        <v>13</v>
      </c>
      <c r="B12" s="10"/>
      <c r="C12" s="11" t="s">
        <v>6</v>
      </c>
    </row>
    <row r="13" s="2" customFormat="1" ht="14.25" spans="1:3">
      <c r="A13" s="9" t="s">
        <v>14</v>
      </c>
      <c r="B13" s="10"/>
      <c r="C13" s="11" t="s">
        <v>6</v>
      </c>
    </row>
    <row r="14" s="2" customFormat="1" ht="14.25" spans="1:3">
      <c r="A14" s="9" t="s">
        <v>15</v>
      </c>
      <c r="B14" s="10"/>
      <c r="C14" s="11" t="s">
        <v>6</v>
      </c>
    </row>
    <row r="15" s="2" customFormat="1" ht="14.25" spans="1:3">
      <c r="A15" s="9" t="s">
        <v>16</v>
      </c>
      <c r="B15" s="10"/>
      <c r="C15" s="11" t="s">
        <v>6</v>
      </c>
    </row>
    <row r="16" s="2" customFormat="1" ht="14.25" spans="1:3">
      <c r="A16" s="13" t="s">
        <v>17</v>
      </c>
      <c r="B16" s="7">
        <f>SUM(B9:B15)</f>
        <v>0</v>
      </c>
      <c r="C16" s="8" t="s">
        <v>4</v>
      </c>
    </row>
    <row r="17" s="2" customFormat="1" ht="14.25" spans="1:3">
      <c r="A17" s="9" t="s">
        <v>18</v>
      </c>
      <c r="B17" s="10"/>
      <c r="C17" s="11" t="s">
        <v>6</v>
      </c>
    </row>
    <row r="18" s="2" customFormat="1" ht="14.25" spans="1:3">
      <c r="A18" s="9" t="s">
        <v>19</v>
      </c>
      <c r="B18" s="10"/>
      <c r="C18" s="11" t="s">
        <v>6</v>
      </c>
    </row>
    <row r="19" s="2" customFormat="1" ht="14.25" spans="1:3">
      <c r="A19" s="9" t="s">
        <v>20</v>
      </c>
      <c r="B19" s="10"/>
      <c r="C19" s="11" t="s">
        <v>6</v>
      </c>
    </row>
    <row r="20" s="2" customFormat="1" ht="14.25" spans="1:3">
      <c r="A20" s="9" t="s">
        <v>21</v>
      </c>
      <c r="B20" s="10"/>
      <c r="C20" s="11" t="s">
        <v>6</v>
      </c>
    </row>
    <row r="21" s="2" customFormat="1" ht="14.25" spans="1:3">
      <c r="A21" s="9" t="s">
        <v>22</v>
      </c>
      <c r="B21" s="10"/>
      <c r="C21" s="11" t="s">
        <v>6</v>
      </c>
    </row>
    <row r="22" s="2" customFormat="1" ht="14.25" spans="1:3">
      <c r="A22" s="13" t="s">
        <v>23</v>
      </c>
      <c r="B22" s="7">
        <f>SUM(B17:B21)</f>
        <v>0</v>
      </c>
      <c r="C22" s="8" t="s">
        <v>4</v>
      </c>
    </row>
    <row r="23" s="2" customFormat="1" ht="14.25" spans="1:3">
      <c r="A23" s="13" t="s">
        <v>24</v>
      </c>
      <c r="B23" s="7">
        <f>B3-B16-B22</f>
        <v>0</v>
      </c>
      <c r="C23" s="8" t="s">
        <v>4</v>
      </c>
    </row>
    <row r="24" s="2" customFormat="1" ht="14.25" spans="1:3">
      <c r="A24" s="9" t="s">
        <v>25</v>
      </c>
      <c r="B24" s="10"/>
      <c r="C24" s="11" t="s">
        <v>6</v>
      </c>
    </row>
    <row r="25" s="2" customFormat="1" ht="14.25" spans="1:3">
      <c r="A25" s="13" t="s">
        <v>26</v>
      </c>
      <c r="B25" s="7">
        <f>B8-B24</f>
        <v>0</v>
      </c>
      <c r="C25" s="8" t="s">
        <v>4</v>
      </c>
    </row>
    <row r="26" s="2" customFormat="1" ht="14.25" spans="1:3">
      <c r="A26" s="13" t="s">
        <v>27</v>
      </c>
      <c r="B26" s="7">
        <f>B23+B25</f>
        <v>0</v>
      </c>
      <c r="C26" s="8" t="s">
        <v>4</v>
      </c>
    </row>
    <row r="27" s="2" customFormat="1" ht="14.25" spans="1:3">
      <c r="A27" s="9" t="s">
        <v>28</v>
      </c>
      <c r="B27" s="10"/>
      <c r="C27" s="11" t="s">
        <v>6</v>
      </c>
    </row>
    <row r="28" s="2" customFormat="1" ht="14.25" spans="1:3">
      <c r="A28" s="9" t="s">
        <v>29</v>
      </c>
      <c r="B28" s="10"/>
      <c r="C28" s="11" t="s">
        <v>6</v>
      </c>
    </row>
    <row r="29" s="2" customFormat="1" ht="14.25" spans="1:3">
      <c r="A29" s="9" t="s">
        <v>30</v>
      </c>
      <c r="B29" s="10"/>
      <c r="C29" s="11" t="s">
        <v>6</v>
      </c>
    </row>
    <row r="30" s="2" customFormat="1" ht="14.25" spans="1:3">
      <c r="A30" s="9" t="s">
        <v>31</v>
      </c>
      <c r="B30" s="10"/>
      <c r="C30" s="11" t="s">
        <v>6</v>
      </c>
    </row>
    <row r="31" s="2" customFormat="1" ht="14.25" spans="1:3">
      <c r="A31" s="15" t="s">
        <v>32</v>
      </c>
      <c r="B31" s="7">
        <f>B26-B27-B28-B29-B30</f>
        <v>0</v>
      </c>
      <c r="C31" s="8" t="s">
        <v>4</v>
      </c>
    </row>
    <row r="32" ht="51" customHeight="1" spans="1:3">
      <c r="A32" s="16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钱辶兔Min</cp:lastModifiedBy>
  <dcterms:created xsi:type="dcterms:W3CDTF">2023-05-12T19:15:00Z</dcterms:created>
  <dcterms:modified xsi:type="dcterms:W3CDTF">2026-04-01T07:53:57Z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7BF94CF2BFFDF5DF6127CA69F02C0151_43</vt:lpwstr>
  </property>
  <property fmtid="{D5CDD505-2E9C-101B-9397-08002B2CF9AE}" pid="4" name="CalculationRule">
    <vt:i4>0</vt:i4>
  </property>
</Properties>
</file>